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Local Projects\Personal\FirstDataApp\firstdateimprov\src\assets\"/>
    </mc:Choice>
  </mc:AlternateContent>
  <xr:revisionPtr revIDLastSave="0" documentId="13_ncr:1_{62836A28-BA36-44E8-8C47-410543A7AE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rst 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" i="1" l="1"/>
  <c r="G93" i="1"/>
  <c r="F93" i="1"/>
  <c r="E93" i="1"/>
  <c r="D93" i="1"/>
  <c r="C93" i="1"/>
  <c r="B93" i="1"/>
  <c r="B94" i="1" s="1"/>
  <c r="H188" i="1"/>
  <c r="G188" i="1"/>
  <c r="F188" i="1"/>
  <c r="E188" i="1"/>
  <c r="D188" i="1"/>
  <c r="C188" i="1"/>
  <c r="B188" i="1"/>
  <c r="B189" i="1" s="1"/>
  <c r="H169" i="1"/>
  <c r="G169" i="1"/>
  <c r="F169" i="1"/>
  <c r="E169" i="1"/>
  <c r="D169" i="1"/>
  <c r="C169" i="1"/>
  <c r="B169" i="1"/>
  <c r="H73" i="1"/>
  <c r="G73" i="1"/>
  <c r="F73" i="1"/>
  <c r="E73" i="1"/>
  <c r="D73" i="1"/>
  <c r="C73" i="1"/>
  <c r="B73" i="1"/>
  <c r="B74" i="1" s="1"/>
  <c r="H150" i="1"/>
  <c r="G150" i="1"/>
  <c r="F150" i="1"/>
  <c r="E150" i="1"/>
  <c r="D150" i="1"/>
  <c r="C150" i="1"/>
  <c r="B150" i="1"/>
  <c r="H54" i="1"/>
  <c r="G54" i="1"/>
  <c r="F54" i="1"/>
  <c r="E54" i="1"/>
  <c r="D54" i="1"/>
  <c r="C54" i="1"/>
  <c r="B54" i="1"/>
  <c r="B55" i="1" s="1"/>
  <c r="I131" i="1"/>
  <c r="H131" i="1"/>
  <c r="G131" i="1"/>
  <c r="F131" i="1"/>
  <c r="E131" i="1"/>
  <c r="D131" i="1"/>
  <c r="C131" i="1"/>
  <c r="B131" i="1"/>
  <c r="I35" i="1"/>
  <c r="H35" i="1"/>
  <c r="G35" i="1"/>
  <c r="F35" i="1"/>
  <c r="E35" i="1"/>
  <c r="D35" i="1"/>
  <c r="C35" i="1"/>
  <c r="B35" i="1"/>
  <c r="B36" i="1" s="1"/>
  <c r="B17" i="1"/>
  <c r="I112" i="1"/>
  <c r="H112" i="1"/>
  <c r="G112" i="1"/>
  <c r="F112" i="1"/>
  <c r="E112" i="1"/>
  <c r="D112" i="1"/>
  <c r="C112" i="1"/>
  <c r="B112" i="1"/>
  <c r="B113" i="1" s="1"/>
  <c r="I16" i="1"/>
  <c r="H16" i="1"/>
  <c r="G16" i="1"/>
  <c r="F16" i="1"/>
  <c r="E16" i="1"/>
  <c r="D16" i="1"/>
  <c r="C16" i="1"/>
  <c r="B16" i="1"/>
  <c r="B132" i="1" l="1"/>
  <c r="B170" i="1"/>
  <c r="B151" i="1"/>
</calcChain>
</file>

<file path=xl/sharedStrings.xml><?xml version="1.0" encoding="utf-8"?>
<sst xmlns="http://schemas.openxmlformats.org/spreadsheetml/2006/main" count="234" uniqueCount="43">
  <si>
    <t>"Footbath"</t>
  </si>
  <si>
    <t>CC</t>
  </si>
  <si>
    <t>TP</t>
  </si>
  <si>
    <t>JM</t>
  </si>
  <si>
    <t>BM</t>
  </si>
  <si>
    <t>JH</t>
  </si>
  <si>
    <t>SK</t>
  </si>
  <si>
    <t>LT</t>
  </si>
  <si>
    <t>ZM</t>
  </si>
  <si>
    <t>"Groundhog Day"</t>
  </si>
  <si>
    <t>Legend</t>
  </si>
  <si>
    <t>1A</t>
  </si>
  <si>
    <t>Started Scene/game</t>
  </si>
  <si>
    <t>1B</t>
  </si>
  <si>
    <t>Joined 2-person scene</t>
  </si>
  <si>
    <t>1C</t>
  </si>
  <si>
    <t>Walk-on</t>
  </si>
  <si>
    <t>D</t>
  </si>
  <si>
    <t>Group Game Joiner</t>
  </si>
  <si>
    <t>2A</t>
  </si>
  <si>
    <t>2B</t>
  </si>
  <si>
    <t>2C</t>
  </si>
  <si>
    <t>E</t>
  </si>
  <si>
    <t>3A</t>
  </si>
  <si>
    <t>3B</t>
  </si>
  <si>
    <t>4-R</t>
  </si>
  <si>
    <t>3C</t>
  </si>
  <si>
    <t>TOTAL</t>
  </si>
  <si>
    <t>avg</t>
  </si>
  <si>
    <t>Initiations</t>
  </si>
  <si>
    <t>"Cheese Curls"</t>
  </si>
  <si>
    <t>"Porcupines"</t>
  </si>
  <si>
    <t>"Toothpaste"</t>
  </si>
  <si>
    <t>"Rocket Ship"</t>
  </si>
  <si>
    <t>3D</t>
  </si>
  <si>
    <t>3A-2</t>
  </si>
  <si>
    <t>"Supercalifrag..."</t>
  </si>
  <si>
    <t>"Thorn"</t>
  </si>
  <si>
    <t>3A-C</t>
  </si>
  <si>
    <t>3E</t>
  </si>
  <si>
    <t>"Square"</t>
  </si>
  <si>
    <t>3/19 Show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</si>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</sst>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B7B7B7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/>
    <xf numFmtId="0" fontId="2" fillId="3" borderId="0" xfId="0" applyFont="1" applyFill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C190"/>
  <sheetViews>
    <sheetView tabSelected="1" topLeftCell="A85" workbookViewId="0">
      <selection activeCell="A98" sqref="A98:I190"/>
    </sheetView>
  </sheetViews>
  <sheetFormatPr defaultColWidth="12.6640625" defaultRowHeight="15.75" customHeight="1" x14ac:dyDescent="0.25"/>
  <cols>
    <col min="1" max="1" width="13.88671875" customWidth="1"/>
    <col min="2" max="2" width="4.109375" customWidth="1"/>
    <col min="3" max="3" width="4.44140625" customWidth="1"/>
    <col min="4" max="4" width="4.109375" customWidth="1"/>
    <col min="5" max="5" width="4.33203125" customWidth="1"/>
    <col min="6" max="7" width="4.109375" customWidth="1"/>
    <col min="8" max="8" width="3.88671875" customWidth="1"/>
    <col min="9" max="9" width="4.109375" customWidth="1"/>
    <col min="11" max="11" width="16.44140625" customWidth="1"/>
    <col min="12" max="12" width="4.6640625" customWidth="1"/>
    <col min="13" max="13" width="4.21875" customWidth="1"/>
    <col min="14" max="14" width="4.33203125" customWidth="1"/>
    <col min="15" max="18" width="4.109375" customWidth="1"/>
    <col min="19" max="19" width="3.77734375" customWidth="1"/>
    <col min="21" max="21" width="22" customWidth="1"/>
    <col min="22" max="22" width="19.33203125" customWidth="1"/>
    <col min="23" max="23" width="3" customWidth="1"/>
    <col min="24" max="30" width="3.21875" customWidth="1"/>
  </cols>
  <sheetData>
    <row r="2" spans="1:24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U2" s="2" t="s">
        <v>10</v>
      </c>
      <c r="V2" s="4"/>
      <c r="W2" s="4"/>
      <c r="X2" s="4"/>
    </row>
    <row r="3" spans="1:24" x14ac:dyDescent="0.25">
      <c r="A3" s="2" t="s">
        <v>11</v>
      </c>
      <c r="B3" s="1">
        <v>1</v>
      </c>
      <c r="C3" s="2">
        <v>1</v>
      </c>
      <c r="F3" s="2">
        <v>0.5</v>
      </c>
      <c r="I3" s="2">
        <v>0.5</v>
      </c>
      <c r="U3" s="1">
        <v>1</v>
      </c>
      <c r="V3" s="4" t="s">
        <v>12</v>
      </c>
      <c r="W3" s="4"/>
      <c r="X3" s="4"/>
    </row>
    <row r="4" spans="1:24" x14ac:dyDescent="0.25">
      <c r="A4" s="2" t="s">
        <v>13</v>
      </c>
      <c r="D4" s="1">
        <v>1</v>
      </c>
      <c r="E4" s="2">
        <v>1</v>
      </c>
      <c r="F4" s="2">
        <v>0.5</v>
      </c>
      <c r="U4" s="2">
        <v>1</v>
      </c>
      <c r="V4" s="4" t="s">
        <v>14</v>
      </c>
      <c r="W4" s="4"/>
      <c r="X4" s="4"/>
    </row>
    <row r="5" spans="1:24" x14ac:dyDescent="0.25">
      <c r="A5" s="2" t="s">
        <v>15</v>
      </c>
      <c r="F5" s="1">
        <v>1</v>
      </c>
      <c r="G5" s="2">
        <v>1</v>
      </c>
      <c r="U5" s="2">
        <v>0.5</v>
      </c>
      <c r="V5" s="4" t="s">
        <v>16</v>
      </c>
      <c r="W5" s="4"/>
      <c r="X5" s="4"/>
    </row>
    <row r="6" spans="1:24" x14ac:dyDescent="0.25">
      <c r="A6" s="5">
        <v>4</v>
      </c>
      <c r="B6" s="1">
        <v>1</v>
      </c>
      <c r="C6" s="2">
        <v>0.25</v>
      </c>
      <c r="D6" s="2">
        <v>0.25</v>
      </c>
      <c r="E6" s="2">
        <v>0.25</v>
      </c>
      <c r="F6" s="2">
        <v>0.25</v>
      </c>
      <c r="G6" s="2">
        <v>0.25</v>
      </c>
      <c r="H6" s="2">
        <v>0.25</v>
      </c>
      <c r="I6" s="2">
        <v>0.25</v>
      </c>
      <c r="U6" s="2">
        <v>0.25</v>
      </c>
      <c r="V6" s="4" t="s">
        <v>18</v>
      </c>
      <c r="W6" s="4"/>
      <c r="X6" s="4"/>
    </row>
    <row r="7" spans="1:24" x14ac:dyDescent="0.25">
      <c r="A7" s="5" t="s">
        <v>19</v>
      </c>
      <c r="B7" s="2">
        <v>1</v>
      </c>
      <c r="C7" s="1">
        <v>1</v>
      </c>
      <c r="F7" s="2">
        <v>0.5</v>
      </c>
      <c r="I7" s="2">
        <v>0.5</v>
      </c>
      <c r="V7" s="4"/>
      <c r="W7" s="4"/>
      <c r="X7" s="4"/>
    </row>
    <row r="8" spans="1:24" x14ac:dyDescent="0.25">
      <c r="A8" s="5" t="s">
        <v>20</v>
      </c>
      <c r="C8" s="2">
        <v>1</v>
      </c>
      <c r="D8" s="2">
        <v>0.5</v>
      </c>
      <c r="E8" s="1">
        <v>1</v>
      </c>
      <c r="V8" s="4"/>
      <c r="W8" s="4"/>
      <c r="X8" s="4"/>
    </row>
    <row r="9" spans="1:24" x14ac:dyDescent="0.25">
      <c r="A9" s="5" t="s">
        <v>21</v>
      </c>
      <c r="C9" s="2">
        <v>0.5</v>
      </c>
      <c r="F9" s="2">
        <v>1</v>
      </c>
      <c r="G9" s="2">
        <v>0.5</v>
      </c>
      <c r="I9" s="1">
        <v>1</v>
      </c>
      <c r="U9" t="s">
        <v>42</v>
      </c>
      <c r="V9" s="4"/>
      <c r="W9" s="4"/>
      <c r="X9" s="4"/>
    </row>
    <row r="10" spans="1:24" x14ac:dyDescent="0.25">
      <c r="A10" s="5">
        <v>5</v>
      </c>
      <c r="B10" s="2">
        <v>0.25</v>
      </c>
      <c r="C10" s="2">
        <v>0.25</v>
      </c>
      <c r="D10" s="2">
        <v>0.25</v>
      </c>
      <c r="E10" s="2">
        <v>0.25</v>
      </c>
      <c r="F10" s="2">
        <v>0.25</v>
      </c>
      <c r="G10" s="2">
        <v>0.25</v>
      </c>
      <c r="H10" s="1">
        <v>1</v>
      </c>
      <c r="I10" s="2">
        <v>0.25</v>
      </c>
      <c r="U10" s="1" t="s">
        <v>0</v>
      </c>
    </row>
    <row r="11" spans="1:24" x14ac:dyDescent="0.25">
      <c r="A11" s="2" t="s">
        <v>23</v>
      </c>
      <c r="B11" s="1">
        <v>1</v>
      </c>
      <c r="C11" s="2">
        <v>0.5</v>
      </c>
      <c r="I11" s="2">
        <v>1</v>
      </c>
      <c r="U11" s="1" t="s">
        <v>30</v>
      </c>
    </row>
    <row r="12" spans="1:24" x14ac:dyDescent="0.25">
      <c r="A12" s="2" t="s">
        <v>24</v>
      </c>
      <c r="E12" s="1">
        <v>1</v>
      </c>
      <c r="H12" s="2">
        <v>1</v>
      </c>
      <c r="U12" s="1" t="s">
        <v>32</v>
      </c>
    </row>
    <row r="13" spans="1:24" x14ac:dyDescent="0.25">
      <c r="A13" s="2" t="s">
        <v>25</v>
      </c>
      <c r="B13" s="2">
        <v>0.25</v>
      </c>
      <c r="G13" s="1">
        <v>1</v>
      </c>
      <c r="H13" s="2">
        <v>0.25</v>
      </c>
      <c r="I13" s="2">
        <v>0.25</v>
      </c>
      <c r="U13" s="1" t="s">
        <v>36</v>
      </c>
    </row>
    <row r="14" spans="1:24" x14ac:dyDescent="0.25">
      <c r="A14" s="2" t="s">
        <v>26</v>
      </c>
      <c r="H14" s="2">
        <v>1</v>
      </c>
      <c r="I14" s="1">
        <v>1</v>
      </c>
      <c r="U14" s="1" t="s">
        <v>40</v>
      </c>
    </row>
    <row r="15" spans="1:24" x14ac:dyDescent="0.25">
      <c r="U15" s="1" t="s">
        <v>9</v>
      </c>
    </row>
    <row r="16" spans="1:24" x14ac:dyDescent="0.25">
      <c r="A16" s="2" t="s">
        <v>27</v>
      </c>
      <c r="B16" s="2">
        <f t="shared" ref="B16:C16" si="0">SUM(B2:B15)</f>
        <v>4.5</v>
      </c>
      <c r="C16" s="2">
        <f t="shared" si="0"/>
        <v>4.5</v>
      </c>
      <c r="D16" s="2">
        <f>SUM(D2:D14)</f>
        <v>2</v>
      </c>
      <c r="E16" s="2">
        <f t="shared" ref="E16:I16" si="1">SUM(E2:E15)</f>
        <v>3.5</v>
      </c>
      <c r="F16" s="2">
        <f t="shared" si="1"/>
        <v>4</v>
      </c>
      <c r="G16" s="2">
        <f t="shared" si="1"/>
        <v>3</v>
      </c>
      <c r="H16" s="2">
        <f t="shared" si="1"/>
        <v>3.5</v>
      </c>
      <c r="I16" s="2">
        <f t="shared" si="1"/>
        <v>4.75</v>
      </c>
      <c r="U16" s="1" t="s">
        <v>31</v>
      </c>
    </row>
    <row r="17" spans="1:29" x14ac:dyDescent="0.25">
      <c r="A17" s="2" t="s">
        <v>28</v>
      </c>
      <c r="B17" s="2">
        <f>AVERAGE(B16,C16,D16,E16,F16,G16,H16,I16)</f>
        <v>3.71875</v>
      </c>
      <c r="U17" s="1" t="s">
        <v>33</v>
      </c>
    </row>
    <row r="18" spans="1:29" x14ac:dyDescent="0.25">
      <c r="A18" s="2" t="s">
        <v>29</v>
      </c>
      <c r="B18" s="2">
        <v>3</v>
      </c>
      <c r="C18" s="2">
        <v>1</v>
      </c>
      <c r="D18" s="2">
        <v>1</v>
      </c>
      <c r="E18" s="2">
        <v>2</v>
      </c>
      <c r="F18" s="2">
        <v>1</v>
      </c>
      <c r="G18" s="2">
        <v>1</v>
      </c>
      <c r="H18" s="2">
        <v>1</v>
      </c>
      <c r="I18" s="2">
        <v>2</v>
      </c>
      <c r="U18" s="1" t="s">
        <v>37</v>
      </c>
    </row>
    <row r="21" spans="1:29" x14ac:dyDescent="0.25">
      <c r="A21" s="1" t="s">
        <v>30</v>
      </c>
      <c r="B21" s="2" t="s">
        <v>1</v>
      </c>
      <c r="C21" s="2" t="s">
        <v>2</v>
      </c>
      <c r="D21" s="2" t="s">
        <v>3</v>
      </c>
      <c r="E21" s="2" t="s">
        <v>4</v>
      </c>
      <c r="F21" s="3" t="s">
        <v>5</v>
      </c>
      <c r="G21" s="2" t="s">
        <v>6</v>
      </c>
      <c r="H21" s="2" t="s">
        <v>7</v>
      </c>
      <c r="I21" s="2" t="s">
        <v>8</v>
      </c>
    </row>
    <row r="22" spans="1:29" x14ac:dyDescent="0.25">
      <c r="A22" s="2" t="s">
        <v>11</v>
      </c>
      <c r="F22" s="3"/>
      <c r="H22" s="1">
        <v>1</v>
      </c>
      <c r="I22" s="2">
        <v>1</v>
      </c>
      <c r="Y22" s="4"/>
      <c r="Z22" s="4"/>
      <c r="AA22" s="4"/>
      <c r="AB22" s="4"/>
      <c r="AC22" s="4"/>
    </row>
    <row r="23" spans="1:29" x14ac:dyDescent="0.25">
      <c r="A23" s="2" t="s">
        <v>13</v>
      </c>
      <c r="D23" s="1">
        <v>1</v>
      </c>
      <c r="E23" s="2">
        <v>1</v>
      </c>
      <c r="F23" s="3"/>
      <c r="V23" s="6"/>
      <c r="Y23" s="4"/>
      <c r="Z23" s="4"/>
      <c r="AA23" s="4"/>
      <c r="AB23" s="4"/>
      <c r="AC23" s="4"/>
    </row>
    <row r="24" spans="1:29" x14ac:dyDescent="0.25">
      <c r="A24" s="2" t="s">
        <v>15</v>
      </c>
      <c r="B24" s="1">
        <v>1</v>
      </c>
      <c r="C24" s="2">
        <v>1</v>
      </c>
      <c r="F24" s="3"/>
      <c r="Y24" s="4"/>
      <c r="Z24" s="4"/>
      <c r="AA24" s="4"/>
      <c r="AB24" s="4"/>
      <c r="AC24" s="4"/>
    </row>
    <row r="25" spans="1:29" x14ac:dyDescent="0.25">
      <c r="A25" s="5" t="s">
        <v>17</v>
      </c>
      <c r="B25" s="2">
        <v>0.25</v>
      </c>
      <c r="C25" s="2">
        <v>0.25</v>
      </c>
      <c r="D25" s="2">
        <v>1</v>
      </c>
      <c r="E25" s="2">
        <v>1</v>
      </c>
      <c r="F25" s="3"/>
      <c r="G25" s="2">
        <v>0.25</v>
      </c>
      <c r="H25" s="2">
        <v>0.25</v>
      </c>
      <c r="I25" s="2">
        <v>0.25</v>
      </c>
      <c r="Y25" s="4"/>
      <c r="Z25" s="4"/>
      <c r="AA25" s="4"/>
      <c r="AB25" s="4"/>
      <c r="AC25" s="4"/>
    </row>
    <row r="26" spans="1:29" x14ac:dyDescent="0.25">
      <c r="A26" s="5" t="s">
        <v>19</v>
      </c>
      <c r="E26" s="2">
        <v>0.5</v>
      </c>
      <c r="F26" s="3"/>
      <c r="G26" s="2">
        <v>0.5</v>
      </c>
      <c r="H26" s="2">
        <v>1</v>
      </c>
      <c r="I26" s="1">
        <v>1</v>
      </c>
      <c r="Y26" s="4"/>
      <c r="Z26" s="4"/>
      <c r="AA26" s="4"/>
      <c r="AB26" s="4"/>
      <c r="AC26" s="4"/>
    </row>
    <row r="27" spans="1:29" x14ac:dyDescent="0.25">
      <c r="A27" s="5" t="s">
        <v>20</v>
      </c>
      <c r="B27" s="2">
        <v>0.5</v>
      </c>
      <c r="C27" s="1">
        <v>1</v>
      </c>
      <c r="D27" s="2">
        <v>1</v>
      </c>
      <c r="E27" s="2">
        <v>0.5</v>
      </c>
      <c r="F27" s="3"/>
      <c r="H27" s="2">
        <v>0.5</v>
      </c>
      <c r="Y27" s="4"/>
      <c r="Z27" s="4"/>
      <c r="AA27" s="4"/>
      <c r="AB27" s="4"/>
      <c r="AC27" s="4"/>
    </row>
    <row r="28" spans="1:29" x14ac:dyDescent="0.25">
      <c r="A28" s="5" t="s">
        <v>21</v>
      </c>
      <c r="C28" s="2">
        <v>0.5</v>
      </c>
      <c r="F28" s="3"/>
      <c r="G28" s="1">
        <v>1</v>
      </c>
      <c r="H28" s="2">
        <v>1</v>
      </c>
      <c r="I28" s="2">
        <v>0.5</v>
      </c>
      <c r="V28" s="6"/>
      <c r="Y28" s="4"/>
      <c r="Z28" s="4"/>
      <c r="AA28" s="4"/>
      <c r="AB28" s="4"/>
      <c r="AC28" s="4"/>
    </row>
    <row r="29" spans="1:29" x14ac:dyDescent="0.25">
      <c r="A29" s="5" t="s">
        <v>22</v>
      </c>
      <c r="B29" s="2">
        <v>0.25</v>
      </c>
      <c r="C29" s="2">
        <v>0.25</v>
      </c>
      <c r="D29" s="2">
        <v>0.25</v>
      </c>
      <c r="E29" s="1">
        <v>1</v>
      </c>
      <c r="F29" s="3"/>
      <c r="G29" s="2">
        <v>0.25</v>
      </c>
      <c r="H29" s="2">
        <v>0.25</v>
      </c>
      <c r="I29" s="2">
        <v>0.25</v>
      </c>
      <c r="Y29" s="4"/>
      <c r="Z29" s="4"/>
      <c r="AA29" s="4"/>
      <c r="AB29" s="4"/>
      <c r="AC29" s="4"/>
    </row>
    <row r="30" spans="1:29" x14ac:dyDescent="0.25">
      <c r="A30" s="3" t="s">
        <v>23</v>
      </c>
      <c r="B30" s="3"/>
      <c r="C30" s="3"/>
      <c r="D30" s="3"/>
      <c r="E30" s="3"/>
      <c r="F30" s="3"/>
      <c r="G30" s="3"/>
      <c r="H30" s="3"/>
      <c r="I30" s="3"/>
      <c r="V30" s="6"/>
    </row>
    <row r="31" spans="1:29" x14ac:dyDescent="0.25">
      <c r="A31" s="3" t="s">
        <v>24</v>
      </c>
      <c r="B31" s="3"/>
      <c r="C31" s="3"/>
      <c r="D31" s="3"/>
      <c r="E31" s="3"/>
      <c r="F31" s="3"/>
      <c r="G31" s="3"/>
      <c r="H31" s="3"/>
      <c r="I31" s="3"/>
    </row>
    <row r="32" spans="1:29" x14ac:dyDescent="0.25">
      <c r="A32" s="3" t="s">
        <v>26</v>
      </c>
      <c r="B32" s="3"/>
      <c r="C32" s="3"/>
      <c r="D32" s="3"/>
      <c r="E32" s="3"/>
      <c r="F32" s="3"/>
      <c r="G32" s="3"/>
      <c r="H32" s="3"/>
      <c r="I32" s="3"/>
    </row>
    <row r="33" spans="1:9" x14ac:dyDescent="0.25">
      <c r="F33" s="3"/>
    </row>
    <row r="34" spans="1:9" x14ac:dyDescent="0.25">
      <c r="F34" s="3"/>
    </row>
    <row r="35" spans="1:9" x14ac:dyDescent="0.25">
      <c r="A35" s="2" t="s">
        <v>27</v>
      </c>
      <c r="B35" s="2">
        <f t="shared" ref="B35:C35" si="2">SUM(B21:B34)</f>
        <v>2</v>
      </c>
      <c r="C35" s="2">
        <f t="shared" si="2"/>
        <v>3</v>
      </c>
      <c r="D35" s="2">
        <f>SUM(D21:D33)</f>
        <v>3.25</v>
      </c>
      <c r="E35" s="2">
        <f t="shared" ref="E35:I35" si="3">SUM(E21:E34)</f>
        <v>4</v>
      </c>
      <c r="F35" s="3">
        <f t="shared" si="3"/>
        <v>0</v>
      </c>
      <c r="G35" s="2">
        <f t="shared" si="3"/>
        <v>2</v>
      </c>
      <c r="H35" s="2">
        <f t="shared" si="3"/>
        <v>4</v>
      </c>
      <c r="I35" s="2">
        <f t="shared" si="3"/>
        <v>3</v>
      </c>
    </row>
    <row r="36" spans="1:9" x14ac:dyDescent="0.25">
      <c r="A36" s="2" t="s">
        <v>28</v>
      </c>
      <c r="B36" s="2">
        <f>AVERAGE(B35,C35,D35,E35,G35,H35,I35)</f>
        <v>3.0357142857142856</v>
      </c>
    </row>
    <row r="37" spans="1:9" x14ac:dyDescent="0.25">
      <c r="A37" s="2" t="s">
        <v>29</v>
      </c>
      <c r="B37" s="2">
        <v>1</v>
      </c>
      <c r="C37" s="2">
        <v>1</v>
      </c>
      <c r="D37" s="2">
        <v>1</v>
      </c>
      <c r="E37" s="2">
        <v>1</v>
      </c>
      <c r="G37" s="2">
        <v>1</v>
      </c>
      <c r="H37" s="2">
        <v>1</v>
      </c>
      <c r="I37" s="2">
        <v>1</v>
      </c>
    </row>
    <row r="40" spans="1:9" x14ac:dyDescent="0.25">
      <c r="A40" s="1" t="s">
        <v>32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6</v>
      </c>
      <c r="G40" s="2" t="s">
        <v>7</v>
      </c>
      <c r="H40" s="3" t="s">
        <v>8</v>
      </c>
    </row>
    <row r="41" spans="1:9" x14ac:dyDescent="0.25">
      <c r="A41" s="2" t="s">
        <v>11</v>
      </c>
      <c r="B41" s="2">
        <v>1</v>
      </c>
      <c r="F41" s="1">
        <v>1</v>
      </c>
      <c r="G41" s="2"/>
      <c r="H41" s="3"/>
    </row>
    <row r="42" spans="1:9" x14ac:dyDescent="0.25">
      <c r="A42" s="2" t="s">
        <v>13</v>
      </c>
      <c r="D42" s="1">
        <v>1</v>
      </c>
      <c r="E42" s="2">
        <v>1</v>
      </c>
      <c r="H42" s="3"/>
    </row>
    <row r="43" spans="1:9" x14ac:dyDescent="0.25">
      <c r="A43" s="2" t="s">
        <v>15</v>
      </c>
      <c r="B43" s="2"/>
      <c r="C43" s="2">
        <v>1</v>
      </c>
      <c r="G43" s="1">
        <v>1</v>
      </c>
      <c r="H43" s="3"/>
    </row>
    <row r="44" spans="1:9" x14ac:dyDescent="0.25">
      <c r="A44" s="5" t="s">
        <v>17</v>
      </c>
      <c r="B44" s="1">
        <v>1</v>
      </c>
      <c r="C44" s="2">
        <v>0.25</v>
      </c>
      <c r="D44" s="2">
        <v>0.25</v>
      </c>
      <c r="E44" s="2">
        <v>0.25</v>
      </c>
      <c r="F44" s="2">
        <v>0.25</v>
      </c>
      <c r="G44" s="2">
        <v>0.25</v>
      </c>
      <c r="H44" s="3"/>
    </row>
    <row r="45" spans="1:9" x14ac:dyDescent="0.25">
      <c r="A45" s="5" t="s">
        <v>19</v>
      </c>
      <c r="B45" s="2">
        <v>0.5</v>
      </c>
      <c r="C45" s="2">
        <v>0.5</v>
      </c>
      <c r="F45" s="2">
        <v>1</v>
      </c>
      <c r="G45" s="1">
        <v>1</v>
      </c>
      <c r="H45" s="8"/>
    </row>
    <row r="46" spans="1:9" x14ac:dyDescent="0.25">
      <c r="A46" s="5" t="s">
        <v>20</v>
      </c>
      <c r="B46" s="2">
        <v>0.5</v>
      </c>
      <c r="C46" s="2">
        <v>0.5</v>
      </c>
      <c r="D46" s="1">
        <v>1</v>
      </c>
      <c r="E46" s="2">
        <v>1</v>
      </c>
      <c r="F46" s="2">
        <v>0.5</v>
      </c>
      <c r="H46" s="3"/>
    </row>
    <row r="47" spans="1:9" x14ac:dyDescent="0.25">
      <c r="A47" s="5" t="s">
        <v>21</v>
      </c>
      <c r="B47" s="2">
        <v>1</v>
      </c>
      <c r="C47" s="2">
        <v>0.5</v>
      </c>
      <c r="F47" s="2">
        <v>0.5</v>
      </c>
      <c r="G47" s="1">
        <v>1</v>
      </c>
      <c r="H47" s="3"/>
    </row>
    <row r="48" spans="1:9" x14ac:dyDescent="0.25">
      <c r="A48" s="5" t="s">
        <v>22</v>
      </c>
      <c r="B48" s="2">
        <v>0.25</v>
      </c>
      <c r="C48" s="2">
        <v>0.25</v>
      </c>
      <c r="D48" s="2">
        <v>0.25</v>
      </c>
      <c r="E48" s="2">
        <v>0.25</v>
      </c>
      <c r="F48" s="1">
        <v>1</v>
      </c>
      <c r="G48" s="2">
        <v>0.25</v>
      </c>
      <c r="H48" s="3"/>
    </row>
    <row r="49" spans="1:8" x14ac:dyDescent="0.25">
      <c r="A49" s="2" t="s">
        <v>23</v>
      </c>
      <c r="B49" s="1">
        <v>1</v>
      </c>
      <c r="G49" s="2">
        <v>1</v>
      </c>
      <c r="H49" s="3"/>
    </row>
    <row r="50" spans="1:8" x14ac:dyDescent="0.25">
      <c r="A50" s="2" t="s">
        <v>34</v>
      </c>
      <c r="B50" s="2">
        <v>1</v>
      </c>
      <c r="D50" s="1">
        <v>1</v>
      </c>
      <c r="H50" s="3"/>
    </row>
    <row r="51" spans="1:8" x14ac:dyDescent="0.25">
      <c r="A51" s="2" t="s">
        <v>24</v>
      </c>
      <c r="C51" s="2">
        <v>1</v>
      </c>
      <c r="F51" s="1">
        <v>1</v>
      </c>
      <c r="H51" s="3"/>
    </row>
    <row r="52" spans="1:8" x14ac:dyDescent="0.25">
      <c r="A52" s="2" t="s">
        <v>35</v>
      </c>
      <c r="C52" s="1">
        <v>1</v>
      </c>
      <c r="E52" s="2">
        <v>1</v>
      </c>
      <c r="F52" s="2">
        <v>0.5</v>
      </c>
      <c r="H52" s="3"/>
    </row>
    <row r="53" spans="1:8" x14ac:dyDescent="0.25">
      <c r="H53" s="3"/>
    </row>
    <row r="54" spans="1:8" x14ac:dyDescent="0.25">
      <c r="A54" s="2" t="s">
        <v>27</v>
      </c>
      <c r="B54" s="2">
        <f t="shared" ref="B54:C54" si="4">SUM(B40:B53)</f>
        <v>6.25</v>
      </c>
      <c r="C54" s="2">
        <f t="shared" si="4"/>
        <v>5</v>
      </c>
      <c r="D54" s="2">
        <f>SUM(D40:D52)</f>
        <v>3.5</v>
      </c>
      <c r="E54" s="2">
        <f t="shared" ref="E54:H54" si="5">SUM(E40:E53)</f>
        <v>3.5</v>
      </c>
      <c r="F54" s="2">
        <f t="shared" si="5"/>
        <v>5.75</v>
      </c>
      <c r="G54" s="2">
        <f t="shared" si="5"/>
        <v>4.5</v>
      </c>
      <c r="H54" s="3">
        <f t="shared" si="5"/>
        <v>0</v>
      </c>
    </row>
    <row r="55" spans="1:8" x14ac:dyDescent="0.25">
      <c r="A55" s="2" t="s">
        <v>28</v>
      </c>
      <c r="B55" s="2">
        <f>AVERAGE(B54,C54,D54,E54,F54,G54)</f>
        <v>4.75</v>
      </c>
    </row>
    <row r="56" spans="1:8" x14ac:dyDescent="0.25">
      <c r="A56" s="2" t="s">
        <v>29</v>
      </c>
      <c r="B56" s="2">
        <v>2</v>
      </c>
      <c r="C56" s="2">
        <v>1</v>
      </c>
      <c r="D56" s="2">
        <v>3</v>
      </c>
      <c r="E56" s="2">
        <v>0</v>
      </c>
      <c r="F56" s="2">
        <v>3</v>
      </c>
      <c r="G56" s="2">
        <v>3</v>
      </c>
    </row>
    <row r="59" spans="1:8" x14ac:dyDescent="0.25">
      <c r="A59" s="1" t="s">
        <v>36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6</v>
      </c>
      <c r="G59" s="2" t="s">
        <v>7</v>
      </c>
      <c r="H59" s="2" t="s">
        <v>8</v>
      </c>
    </row>
    <row r="60" spans="1:8" x14ac:dyDescent="0.25">
      <c r="A60" s="2" t="s">
        <v>11</v>
      </c>
      <c r="D60" s="2">
        <v>1</v>
      </c>
      <c r="F60" s="2"/>
      <c r="H60" s="1">
        <v>1</v>
      </c>
    </row>
    <row r="61" spans="1:8" x14ac:dyDescent="0.25">
      <c r="A61" s="2" t="s">
        <v>13</v>
      </c>
      <c r="C61" s="1">
        <v>1</v>
      </c>
      <c r="D61" s="2"/>
      <c r="E61" s="2">
        <v>1</v>
      </c>
    </row>
    <row r="62" spans="1:8" x14ac:dyDescent="0.25">
      <c r="A62" s="2" t="s">
        <v>15</v>
      </c>
      <c r="F62" s="1">
        <v>1</v>
      </c>
      <c r="G62" s="2">
        <v>1</v>
      </c>
    </row>
    <row r="63" spans="1:8" x14ac:dyDescent="0.25">
      <c r="A63" s="5" t="s">
        <v>17</v>
      </c>
      <c r="B63" s="1">
        <v>1</v>
      </c>
      <c r="C63" s="2">
        <v>0.25</v>
      </c>
      <c r="D63" s="2">
        <v>0.25</v>
      </c>
      <c r="E63" s="2">
        <v>0.25</v>
      </c>
      <c r="F63" s="2">
        <v>0.25</v>
      </c>
      <c r="G63" s="2">
        <v>0.25</v>
      </c>
      <c r="H63" s="2">
        <v>0.25</v>
      </c>
    </row>
    <row r="64" spans="1:8" x14ac:dyDescent="0.25">
      <c r="A64" s="5" t="s">
        <v>19</v>
      </c>
      <c r="B64" s="2">
        <v>0.5</v>
      </c>
      <c r="C64" s="2">
        <v>0.5</v>
      </c>
      <c r="D64" s="1">
        <v>1</v>
      </c>
      <c r="E64" s="2">
        <v>1</v>
      </c>
      <c r="G64" s="2"/>
      <c r="H64" s="2"/>
    </row>
    <row r="65" spans="1:29" x14ac:dyDescent="0.25">
      <c r="A65" s="5" t="s">
        <v>20</v>
      </c>
      <c r="C65" s="2">
        <v>0.5</v>
      </c>
      <c r="D65" s="2">
        <v>0.5</v>
      </c>
      <c r="F65" s="1">
        <v>1</v>
      </c>
      <c r="G65" s="2">
        <v>1</v>
      </c>
    </row>
    <row r="66" spans="1:29" x14ac:dyDescent="0.25">
      <c r="A66" s="5" t="s">
        <v>21</v>
      </c>
      <c r="B66" s="2">
        <v>1</v>
      </c>
      <c r="C66" s="2">
        <v>0.5</v>
      </c>
      <c r="E66" s="1">
        <v>1</v>
      </c>
      <c r="G66" s="2">
        <v>0.5</v>
      </c>
    </row>
    <row r="67" spans="1:29" x14ac:dyDescent="0.25">
      <c r="A67" s="5" t="s">
        <v>22</v>
      </c>
      <c r="B67" s="2">
        <v>0.25</v>
      </c>
      <c r="C67" s="2">
        <v>0.25</v>
      </c>
      <c r="D67" s="2">
        <v>0.25</v>
      </c>
      <c r="E67" s="2">
        <v>0.25</v>
      </c>
      <c r="F67" s="2">
        <v>0.25</v>
      </c>
      <c r="G67" s="1">
        <v>1</v>
      </c>
      <c r="H67" s="2">
        <v>0.25</v>
      </c>
    </row>
    <row r="68" spans="1:29" x14ac:dyDescent="0.25">
      <c r="A68" s="2" t="s">
        <v>38</v>
      </c>
      <c r="B68" s="1">
        <v>1</v>
      </c>
      <c r="E68" s="2">
        <v>1</v>
      </c>
    </row>
    <row r="69" spans="1:29" x14ac:dyDescent="0.25">
      <c r="A69" s="2" t="s">
        <v>39</v>
      </c>
      <c r="D69" s="2">
        <v>1</v>
      </c>
      <c r="G69" s="1">
        <v>1</v>
      </c>
    </row>
    <row r="70" spans="1:29" x14ac:dyDescent="0.25">
      <c r="A70" s="2" t="s">
        <v>23</v>
      </c>
      <c r="B70" s="2">
        <v>1</v>
      </c>
      <c r="E70" s="1">
        <v>1</v>
      </c>
      <c r="F70" s="2"/>
      <c r="H70" s="2">
        <v>0.5</v>
      </c>
    </row>
    <row r="71" spans="1:29" x14ac:dyDescent="0.25">
      <c r="A71" s="2" t="s">
        <v>24</v>
      </c>
      <c r="C71" s="2">
        <v>1</v>
      </c>
      <c r="F71" s="1">
        <v>1</v>
      </c>
    </row>
    <row r="72" spans="1:29" x14ac:dyDescent="0.25"/>
    <row r="73" spans="1:29" x14ac:dyDescent="0.25">
      <c r="A73" s="2" t="s">
        <v>27</v>
      </c>
      <c r="B73" s="2">
        <f t="shared" ref="B73:C73" si="6">SUM(B59:B72)</f>
        <v>4.75</v>
      </c>
      <c r="C73" s="2">
        <f t="shared" si="6"/>
        <v>4</v>
      </c>
      <c r="D73" s="2">
        <f>SUM(D59:D71)</f>
        <v>4</v>
      </c>
      <c r="E73" s="2">
        <f t="shared" ref="E73:H73" si="7">SUM(E59:E72)</f>
        <v>5.5</v>
      </c>
      <c r="F73" s="2">
        <f t="shared" si="7"/>
        <v>3.5</v>
      </c>
      <c r="G73" s="2">
        <f t="shared" si="7"/>
        <v>4.75</v>
      </c>
      <c r="H73" s="2">
        <f t="shared" si="7"/>
        <v>2</v>
      </c>
    </row>
    <row r="74" spans="1:29" x14ac:dyDescent="0.25">
      <c r="A74" s="2" t="s">
        <v>28</v>
      </c>
      <c r="B74" s="2">
        <f>AVERAGE(B73,C73,D73,E73,F73,G73,H73)</f>
        <v>4.0714285714285712</v>
      </c>
    </row>
    <row r="75" spans="1:29" x14ac:dyDescent="0.25">
      <c r="A75" s="2" t="s">
        <v>29</v>
      </c>
      <c r="B75" s="2">
        <v>2</v>
      </c>
      <c r="C75" s="2">
        <v>1</v>
      </c>
      <c r="D75" s="2">
        <v>1</v>
      </c>
      <c r="E75" s="2">
        <v>2</v>
      </c>
      <c r="F75" s="2">
        <v>3</v>
      </c>
      <c r="G75" s="2">
        <v>2</v>
      </c>
      <c r="H75" s="2">
        <v>1</v>
      </c>
    </row>
    <row r="78" spans="1:29" x14ac:dyDescent="0.25">
      <c r="A78" s="1" t="s">
        <v>40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6</v>
      </c>
      <c r="G78" s="2" t="s">
        <v>7</v>
      </c>
      <c r="H78" s="7" t="s">
        <v>8</v>
      </c>
    </row>
    <row r="79" spans="1:29" x14ac:dyDescent="0.25">
      <c r="A79" s="2" t="s">
        <v>11</v>
      </c>
      <c r="B79" s="1">
        <v>1</v>
      </c>
      <c r="E79" s="2">
        <v>1</v>
      </c>
      <c r="H79" s="9"/>
      <c r="V79" s="4"/>
      <c r="W79" s="4"/>
      <c r="AB79" s="4"/>
      <c r="AC79" s="4"/>
    </row>
    <row r="80" spans="1:29" x14ac:dyDescent="0.25">
      <c r="A80" s="2" t="s">
        <v>13</v>
      </c>
      <c r="C80" s="1">
        <v>1</v>
      </c>
      <c r="F80" s="2">
        <v>1</v>
      </c>
      <c r="H80" s="7"/>
      <c r="W80" s="4"/>
      <c r="X80" s="4"/>
      <c r="Y80" s="4"/>
      <c r="Z80" s="4"/>
      <c r="AB80" s="4"/>
    </row>
    <row r="81" spans="1:29" x14ac:dyDescent="0.25">
      <c r="A81" s="2" t="s">
        <v>15</v>
      </c>
      <c r="D81" s="1">
        <v>1</v>
      </c>
      <c r="F81" s="1"/>
      <c r="G81" s="2">
        <v>1</v>
      </c>
      <c r="H81" s="7"/>
      <c r="W81" s="4"/>
      <c r="X81" s="4"/>
      <c r="Y81" s="4"/>
      <c r="AA81" s="4"/>
      <c r="AB81" s="4"/>
      <c r="AC81" s="4"/>
    </row>
    <row r="82" spans="1:29" x14ac:dyDescent="0.25">
      <c r="A82" s="5" t="s">
        <v>17</v>
      </c>
      <c r="B82" s="2">
        <v>0.25</v>
      </c>
      <c r="C82" s="2">
        <v>0.25</v>
      </c>
      <c r="D82" s="2">
        <v>0.25</v>
      </c>
      <c r="E82" s="2">
        <v>0.25</v>
      </c>
      <c r="F82" s="1">
        <v>1</v>
      </c>
      <c r="G82" s="2">
        <v>0.25</v>
      </c>
      <c r="H82" s="7"/>
      <c r="W82" s="4"/>
      <c r="AA82" s="4"/>
      <c r="AC82" s="4"/>
    </row>
    <row r="83" spans="1:29" x14ac:dyDescent="0.25">
      <c r="A83" s="5" t="s">
        <v>19</v>
      </c>
      <c r="D83" s="2">
        <v>0.5</v>
      </c>
      <c r="E83" s="2">
        <v>1</v>
      </c>
      <c r="F83" s="1">
        <v>1</v>
      </c>
      <c r="G83" s="2">
        <v>0.5</v>
      </c>
      <c r="H83" s="7"/>
      <c r="W83" s="4"/>
      <c r="Y83" s="4"/>
      <c r="AB83" s="4"/>
      <c r="AC83" s="4"/>
    </row>
    <row r="84" spans="1:29" x14ac:dyDescent="0.25">
      <c r="A84" s="5" t="s">
        <v>21</v>
      </c>
      <c r="B84" s="2">
        <v>1</v>
      </c>
      <c r="D84" s="1">
        <v>1</v>
      </c>
      <c r="E84" s="2">
        <v>0.5</v>
      </c>
      <c r="F84" s="2">
        <v>0.5</v>
      </c>
      <c r="H84" s="7"/>
      <c r="W84" s="4"/>
      <c r="Y84" s="4"/>
      <c r="Z84" s="4"/>
      <c r="AB84" s="4"/>
      <c r="AC84" s="4"/>
    </row>
    <row r="85" spans="1:29" x14ac:dyDescent="0.25">
      <c r="A85" s="5" t="s">
        <v>20</v>
      </c>
      <c r="C85" s="1">
        <v>1</v>
      </c>
      <c r="E85" s="1"/>
      <c r="F85" s="2">
        <v>0.5</v>
      </c>
      <c r="G85" s="2">
        <v>1</v>
      </c>
      <c r="H85" s="7"/>
      <c r="W85" s="4"/>
      <c r="X85" s="4"/>
      <c r="Y85" s="4"/>
      <c r="Z85" s="4"/>
      <c r="AA85" s="4"/>
    </row>
    <row r="86" spans="1:29" x14ac:dyDescent="0.25">
      <c r="A86" s="5" t="s">
        <v>22</v>
      </c>
      <c r="B86" s="1">
        <v>1</v>
      </c>
      <c r="C86" s="2">
        <v>0.25</v>
      </c>
      <c r="D86" s="2">
        <v>0.25</v>
      </c>
      <c r="E86" s="2">
        <v>0.25</v>
      </c>
      <c r="F86" s="2">
        <v>0.25</v>
      </c>
      <c r="G86" s="2">
        <v>0.25</v>
      </c>
      <c r="H86" s="7"/>
      <c r="U86" s="10"/>
      <c r="W86" s="4"/>
      <c r="X86" s="4"/>
      <c r="Y86" s="4"/>
      <c r="Z86" s="4"/>
    </row>
    <row r="87" spans="1:29" x14ac:dyDescent="0.25">
      <c r="A87" s="5">
        <v>3</v>
      </c>
      <c r="B87" s="1">
        <v>1</v>
      </c>
      <c r="C87" s="2">
        <v>1</v>
      </c>
      <c r="H87" s="7"/>
    </row>
    <row r="88" spans="1:29" x14ac:dyDescent="0.25">
      <c r="A88" s="5">
        <v>3</v>
      </c>
      <c r="C88" s="2">
        <v>1</v>
      </c>
      <c r="D88" s="1">
        <v>1</v>
      </c>
      <c r="G88" s="1"/>
      <c r="H88" s="7"/>
    </row>
    <row r="89" spans="1:29" x14ac:dyDescent="0.25">
      <c r="A89" s="5">
        <v>3</v>
      </c>
      <c r="B89" s="2">
        <v>1</v>
      </c>
      <c r="E89" s="2">
        <v>1</v>
      </c>
      <c r="F89" s="2">
        <v>0.5</v>
      </c>
      <c r="G89" s="1">
        <v>1</v>
      </c>
      <c r="H89" s="7"/>
      <c r="V89" s="4"/>
    </row>
    <row r="90" spans="1:29" x14ac:dyDescent="0.25">
      <c r="A90" s="5">
        <v>3</v>
      </c>
      <c r="B90" s="2">
        <v>0.25</v>
      </c>
      <c r="C90" s="2">
        <v>0.25</v>
      </c>
      <c r="D90" s="1">
        <v>1</v>
      </c>
      <c r="E90" s="2">
        <v>0.25</v>
      </c>
      <c r="F90" s="2">
        <v>0.25</v>
      </c>
      <c r="G90" s="2">
        <v>0.25</v>
      </c>
      <c r="H90" s="7"/>
      <c r="V90" s="4"/>
    </row>
    <row r="91" spans="1:29" x14ac:dyDescent="0.25">
      <c r="A91" s="5">
        <v>3</v>
      </c>
      <c r="B91" s="2">
        <v>0.5</v>
      </c>
      <c r="C91" s="1">
        <v>1</v>
      </c>
      <c r="E91" s="2">
        <v>0.5</v>
      </c>
      <c r="F91" s="2">
        <v>1</v>
      </c>
      <c r="H91" s="7"/>
      <c r="V91" s="4"/>
    </row>
    <row r="92" spans="1:29" x14ac:dyDescent="0.25">
      <c r="A92" s="5">
        <v>3</v>
      </c>
      <c r="H92" s="7"/>
      <c r="V92" s="4"/>
    </row>
    <row r="93" spans="1:29" x14ac:dyDescent="0.25">
      <c r="A93" s="2" t="s">
        <v>27</v>
      </c>
      <c r="B93" s="2">
        <f t="shared" ref="B93:G93" si="8">SUM(B79:B92)</f>
        <v>6</v>
      </c>
      <c r="C93" s="2">
        <f t="shared" si="8"/>
        <v>5.75</v>
      </c>
      <c r="D93" s="2">
        <f t="shared" si="8"/>
        <v>5</v>
      </c>
      <c r="E93" s="2">
        <f t="shared" si="8"/>
        <v>4.75</v>
      </c>
      <c r="F93" s="2">
        <f t="shared" si="8"/>
        <v>6</v>
      </c>
      <c r="G93" s="2">
        <f t="shared" si="8"/>
        <v>4.25</v>
      </c>
      <c r="H93" s="7">
        <f>SUM(H78:H91)</f>
        <v>0</v>
      </c>
      <c r="V93" s="4"/>
    </row>
    <row r="94" spans="1:29" x14ac:dyDescent="0.25">
      <c r="A94" s="2" t="s">
        <v>28</v>
      </c>
      <c r="B94" s="2">
        <f>AVERAGE(B93,C93,D93,E93,F93,G93)</f>
        <v>5.291666666666667</v>
      </c>
      <c r="H94" s="7"/>
    </row>
    <row r="95" spans="1:29" x14ac:dyDescent="0.25">
      <c r="A95" s="2" t="s">
        <v>29</v>
      </c>
      <c r="B95" s="2">
        <v>3</v>
      </c>
      <c r="C95" s="2">
        <v>3</v>
      </c>
      <c r="D95" s="2">
        <v>4</v>
      </c>
      <c r="E95" s="2">
        <v>0</v>
      </c>
      <c r="F95" s="2">
        <v>2</v>
      </c>
      <c r="G95" s="2">
        <v>1</v>
      </c>
      <c r="H95" s="7"/>
    </row>
    <row r="98" spans="1:9" ht="15.75" customHeight="1" x14ac:dyDescent="0.25">
      <c r="A98" s="1" t="s">
        <v>9</v>
      </c>
      <c r="B98" s="2" t="s">
        <v>1</v>
      </c>
      <c r="C98" s="2" t="s">
        <v>2</v>
      </c>
      <c r="D98" s="2" t="s">
        <v>3</v>
      </c>
      <c r="E98" s="2" t="s">
        <v>4</v>
      </c>
      <c r="F98" s="3" t="s">
        <v>5</v>
      </c>
      <c r="G98" s="2" t="s">
        <v>6</v>
      </c>
      <c r="H98" s="2" t="s">
        <v>7</v>
      </c>
      <c r="I98" s="2" t="s">
        <v>8</v>
      </c>
    </row>
    <row r="99" spans="1:9" ht="15.75" customHeight="1" x14ac:dyDescent="0.25">
      <c r="A99" s="2" t="s">
        <v>11</v>
      </c>
      <c r="B99" s="2">
        <v>0.5</v>
      </c>
      <c r="F99" s="3"/>
      <c r="G99" s="2">
        <v>1</v>
      </c>
      <c r="I99" s="1">
        <v>1</v>
      </c>
    </row>
    <row r="100" spans="1:9" ht="15.75" customHeight="1" x14ac:dyDescent="0.25">
      <c r="A100" s="2" t="s">
        <v>13</v>
      </c>
      <c r="D100" s="1">
        <v>1</v>
      </c>
      <c r="E100" s="2">
        <v>1</v>
      </c>
      <c r="F100" s="3"/>
    </row>
    <row r="101" spans="1:9" ht="15.75" customHeight="1" x14ac:dyDescent="0.25">
      <c r="A101" s="2" t="s">
        <v>15</v>
      </c>
      <c r="C101" s="2">
        <v>1</v>
      </c>
      <c r="F101" s="3"/>
      <c r="H101" s="1">
        <v>1</v>
      </c>
    </row>
    <row r="102" spans="1:9" ht="15.75" customHeight="1" x14ac:dyDescent="0.25">
      <c r="A102" s="5" t="s">
        <v>17</v>
      </c>
      <c r="B102" s="1">
        <v>1</v>
      </c>
      <c r="C102" s="2">
        <v>0.25</v>
      </c>
      <c r="D102" s="2">
        <v>0.25</v>
      </c>
      <c r="E102" s="2">
        <v>0.25</v>
      </c>
      <c r="F102" s="3"/>
      <c r="G102" s="2">
        <v>0.25</v>
      </c>
      <c r="H102" s="2">
        <v>0.25</v>
      </c>
      <c r="I102" s="2">
        <v>0.25</v>
      </c>
    </row>
    <row r="103" spans="1:9" ht="15.75" customHeight="1" x14ac:dyDescent="0.25">
      <c r="A103" s="5" t="s">
        <v>19</v>
      </c>
      <c r="B103" s="2">
        <v>1</v>
      </c>
      <c r="E103" s="1">
        <v>1</v>
      </c>
      <c r="F103" s="3"/>
    </row>
    <row r="104" spans="1:9" ht="15.75" customHeight="1" x14ac:dyDescent="0.25">
      <c r="A104" s="5" t="s">
        <v>20</v>
      </c>
      <c r="C104" s="2">
        <v>1</v>
      </c>
      <c r="D104" s="1">
        <v>1</v>
      </c>
      <c r="F104" s="3"/>
    </row>
    <row r="105" spans="1:9" ht="15.75" customHeight="1" x14ac:dyDescent="0.25">
      <c r="A105" s="5" t="s">
        <v>21</v>
      </c>
      <c r="B105" s="2">
        <v>0.25</v>
      </c>
      <c r="C105" s="2">
        <v>0.25</v>
      </c>
      <c r="D105" s="2">
        <v>0.25</v>
      </c>
      <c r="E105" s="2">
        <v>0.25</v>
      </c>
      <c r="F105" s="3"/>
      <c r="G105" s="2">
        <v>0.25</v>
      </c>
      <c r="H105" s="2">
        <v>0.25</v>
      </c>
      <c r="I105" s="1">
        <v>1</v>
      </c>
    </row>
    <row r="106" spans="1:9" ht="15.75" customHeight="1" x14ac:dyDescent="0.25">
      <c r="A106" s="5" t="s">
        <v>22</v>
      </c>
      <c r="B106" s="2">
        <v>0.25</v>
      </c>
      <c r="C106" s="2">
        <v>0.25</v>
      </c>
      <c r="D106" s="2">
        <v>0.25</v>
      </c>
      <c r="E106" s="2">
        <v>0.25</v>
      </c>
      <c r="F106" s="3"/>
      <c r="G106" s="1">
        <v>1</v>
      </c>
      <c r="H106" s="2">
        <v>0.25</v>
      </c>
      <c r="I106" s="2">
        <v>0.25</v>
      </c>
    </row>
    <row r="107" spans="1:9" ht="15.75" customHeight="1" x14ac:dyDescent="0.25">
      <c r="A107" s="2" t="s">
        <v>23</v>
      </c>
      <c r="C107" s="2">
        <v>1</v>
      </c>
      <c r="D107" s="1">
        <v>1</v>
      </c>
      <c r="F107" s="3"/>
    </row>
    <row r="108" spans="1:9" ht="15.75" customHeight="1" x14ac:dyDescent="0.25">
      <c r="A108" s="2" t="s">
        <v>24</v>
      </c>
      <c r="B108" s="2">
        <v>0.25</v>
      </c>
      <c r="C108" s="2">
        <v>0.25</v>
      </c>
      <c r="D108" s="2">
        <v>0.25</v>
      </c>
      <c r="E108" s="2">
        <v>0.25</v>
      </c>
      <c r="F108" s="3"/>
      <c r="G108" s="1">
        <v>1</v>
      </c>
      <c r="H108" s="2">
        <v>1</v>
      </c>
      <c r="I108" s="2">
        <v>1</v>
      </c>
    </row>
    <row r="109" spans="1:9" ht="15.75" customHeight="1" x14ac:dyDescent="0.25">
      <c r="A109" s="2" t="s">
        <v>26</v>
      </c>
      <c r="F109" s="3"/>
      <c r="H109" s="1">
        <v>1</v>
      </c>
      <c r="I109" s="2">
        <v>1</v>
      </c>
    </row>
    <row r="110" spans="1:9" ht="15.75" customHeight="1" x14ac:dyDescent="0.25">
      <c r="F110" s="3"/>
    </row>
    <row r="111" spans="1:9" ht="15.75" customHeight="1" x14ac:dyDescent="0.25">
      <c r="F111" s="3"/>
    </row>
    <row r="112" spans="1:9" ht="15.75" customHeight="1" x14ac:dyDescent="0.25">
      <c r="A112" s="2" t="s">
        <v>27</v>
      </c>
      <c r="B112" s="2">
        <f t="shared" ref="B112:C112" si="9">SUM(B98:B111)</f>
        <v>3.25</v>
      </c>
      <c r="C112" s="2">
        <f t="shared" si="9"/>
        <v>4</v>
      </c>
      <c r="D112" s="2">
        <f>SUM(D98:D110)</f>
        <v>4</v>
      </c>
      <c r="E112" s="2">
        <f t="shared" ref="E112:I112" si="10">SUM(E98:E111)</f>
        <v>3</v>
      </c>
      <c r="F112" s="3">
        <f t="shared" si="10"/>
        <v>0</v>
      </c>
      <c r="G112" s="2">
        <f t="shared" si="10"/>
        <v>3.5</v>
      </c>
      <c r="H112" s="2">
        <f t="shared" si="10"/>
        <v>3.75</v>
      </c>
      <c r="I112" s="2">
        <f t="shared" si="10"/>
        <v>4.5</v>
      </c>
    </row>
    <row r="113" spans="1:9" ht="15.75" customHeight="1" x14ac:dyDescent="0.25">
      <c r="A113" s="2" t="s">
        <v>28</v>
      </c>
      <c r="B113" s="2">
        <f>AVERAGE(B112,C112,D112,E112,G112,H112,I112)</f>
        <v>3.7142857142857144</v>
      </c>
    </row>
    <row r="114" spans="1:9" ht="15.75" customHeight="1" x14ac:dyDescent="0.25">
      <c r="A114" s="2" t="s">
        <v>29</v>
      </c>
      <c r="B114" s="2">
        <v>1</v>
      </c>
      <c r="C114" s="2">
        <v>0</v>
      </c>
      <c r="D114" s="2">
        <v>3</v>
      </c>
      <c r="E114" s="2">
        <v>1</v>
      </c>
      <c r="G114" s="2">
        <v>2</v>
      </c>
      <c r="H114" s="2">
        <v>2</v>
      </c>
      <c r="I114" s="2">
        <v>2</v>
      </c>
    </row>
    <row r="117" spans="1:9" ht="15.75" customHeight="1" x14ac:dyDescent="0.25">
      <c r="A117" s="1" t="s">
        <v>31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3" t="s">
        <v>7</v>
      </c>
      <c r="I117" s="2" t="s">
        <v>8</v>
      </c>
    </row>
    <row r="118" spans="1:9" ht="15.75" customHeight="1" x14ac:dyDescent="0.25">
      <c r="A118" s="2" t="s">
        <v>11</v>
      </c>
      <c r="B118" s="1">
        <v>1</v>
      </c>
      <c r="E118" s="2">
        <v>1</v>
      </c>
      <c r="H118" s="3"/>
    </row>
    <row r="119" spans="1:9" ht="15.75" customHeight="1" x14ac:dyDescent="0.25">
      <c r="A119" s="2" t="s">
        <v>13</v>
      </c>
      <c r="B119" s="2">
        <v>0.5</v>
      </c>
      <c r="C119" s="2">
        <v>0.5</v>
      </c>
      <c r="D119" s="2">
        <v>1</v>
      </c>
      <c r="H119" s="3"/>
      <c r="I119" s="1">
        <v>1</v>
      </c>
    </row>
    <row r="120" spans="1:9" ht="15.75" customHeight="1" x14ac:dyDescent="0.25">
      <c r="A120" s="2" t="s">
        <v>15</v>
      </c>
      <c r="F120" s="2">
        <v>1</v>
      </c>
      <c r="G120" s="1">
        <v>1</v>
      </c>
      <c r="H120" s="3"/>
    </row>
    <row r="121" spans="1:9" ht="15.75" customHeight="1" x14ac:dyDescent="0.25">
      <c r="A121" s="5" t="s">
        <v>17</v>
      </c>
      <c r="B121" s="2">
        <v>0.25</v>
      </c>
      <c r="C121" s="2">
        <v>0.25</v>
      </c>
      <c r="D121" s="2">
        <v>0.25</v>
      </c>
      <c r="E121" s="1">
        <v>1</v>
      </c>
      <c r="F121" s="2">
        <v>0.25</v>
      </c>
      <c r="G121" s="2">
        <v>0.25</v>
      </c>
      <c r="H121" s="3"/>
      <c r="I121" s="2">
        <v>0.25</v>
      </c>
    </row>
    <row r="122" spans="1:9" ht="15.75" customHeight="1" x14ac:dyDescent="0.25">
      <c r="A122" s="5" t="s">
        <v>19</v>
      </c>
      <c r="B122" s="2">
        <v>1</v>
      </c>
      <c r="E122" s="1">
        <v>1</v>
      </c>
      <c r="G122" s="2">
        <v>0.5</v>
      </c>
      <c r="H122" s="3"/>
      <c r="I122" s="2">
        <v>0.5</v>
      </c>
    </row>
    <row r="123" spans="1:9" ht="15.75" customHeight="1" x14ac:dyDescent="0.25">
      <c r="A123" s="5" t="s">
        <v>20</v>
      </c>
      <c r="B123" s="2">
        <v>0.5</v>
      </c>
      <c r="C123" s="2">
        <v>1</v>
      </c>
      <c r="D123" s="1">
        <v>1</v>
      </c>
      <c r="H123" s="3"/>
      <c r="I123" s="2">
        <v>0.5</v>
      </c>
    </row>
    <row r="124" spans="1:9" ht="15.75" customHeight="1" x14ac:dyDescent="0.25">
      <c r="A124" s="5" t="s">
        <v>21</v>
      </c>
      <c r="C124" s="1">
        <v>1</v>
      </c>
      <c r="F124" s="2">
        <v>1</v>
      </c>
      <c r="H124" s="3"/>
    </row>
    <row r="125" spans="1:9" ht="15.75" customHeight="1" x14ac:dyDescent="0.25">
      <c r="A125" s="5" t="s">
        <v>22</v>
      </c>
      <c r="B125" s="2">
        <v>0.25</v>
      </c>
      <c r="C125" s="2">
        <v>0.25</v>
      </c>
      <c r="D125" s="2">
        <v>0.25</v>
      </c>
      <c r="E125" s="2">
        <v>0.25</v>
      </c>
      <c r="F125" s="2">
        <v>0.25</v>
      </c>
      <c r="G125" s="1">
        <v>1</v>
      </c>
      <c r="H125" s="3"/>
      <c r="I125" s="2">
        <v>0.25</v>
      </c>
    </row>
    <row r="126" spans="1:9" ht="15.75" customHeight="1" x14ac:dyDescent="0.25">
      <c r="A126" s="2" t="s">
        <v>23</v>
      </c>
      <c r="E126" s="1">
        <v>1</v>
      </c>
      <c r="G126" s="2">
        <v>1</v>
      </c>
      <c r="H126" s="3"/>
    </row>
    <row r="127" spans="1:9" ht="15.75" customHeight="1" x14ac:dyDescent="0.25">
      <c r="A127" s="2" t="s">
        <v>24</v>
      </c>
      <c r="B127" s="1">
        <v>1</v>
      </c>
      <c r="F127" s="2">
        <v>1</v>
      </c>
      <c r="H127" s="3"/>
    </row>
    <row r="128" spans="1:9" ht="15.75" customHeight="1" x14ac:dyDescent="0.25">
      <c r="A128" s="2" t="s">
        <v>26</v>
      </c>
      <c r="B128" s="2">
        <v>1</v>
      </c>
      <c r="E128" s="1">
        <v>1</v>
      </c>
      <c r="H128" s="3"/>
    </row>
    <row r="129" spans="1:9" ht="15.75" customHeight="1" x14ac:dyDescent="0.25">
      <c r="H129" s="3"/>
    </row>
    <row r="130" spans="1:9" ht="15.75" customHeight="1" x14ac:dyDescent="0.25">
      <c r="H130" s="3"/>
    </row>
    <row r="131" spans="1:9" ht="15.75" customHeight="1" x14ac:dyDescent="0.25">
      <c r="A131" s="2" t="s">
        <v>27</v>
      </c>
      <c r="B131" s="2">
        <f t="shared" ref="B131:C131" si="11">SUM(B117:B130)</f>
        <v>5.5</v>
      </c>
      <c r="C131" s="2">
        <f t="shared" si="11"/>
        <v>3</v>
      </c>
      <c r="D131" s="2">
        <f>SUM(D117:D129)</f>
        <v>2.5</v>
      </c>
      <c r="E131" s="2">
        <f t="shared" ref="E131:I131" si="12">SUM(E117:E130)</f>
        <v>5.25</v>
      </c>
      <c r="F131" s="2">
        <f t="shared" si="12"/>
        <v>3.5</v>
      </c>
      <c r="G131" s="2">
        <f t="shared" si="12"/>
        <v>3.75</v>
      </c>
      <c r="H131" s="3">
        <f t="shared" si="12"/>
        <v>0</v>
      </c>
      <c r="I131" s="2">
        <f t="shared" si="12"/>
        <v>2.5</v>
      </c>
    </row>
    <row r="132" spans="1:9" ht="15.75" customHeight="1" x14ac:dyDescent="0.25">
      <c r="A132" s="2" t="s">
        <v>28</v>
      </c>
      <c r="B132" s="2">
        <f>AVERAGE(B131,C131,D131,E131,G131,H131,I131)</f>
        <v>3.2142857142857144</v>
      </c>
    </row>
    <row r="133" spans="1:9" ht="15.75" customHeight="1" x14ac:dyDescent="0.25">
      <c r="A133" s="2" t="s">
        <v>29</v>
      </c>
      <c r="B133" s="2">
        <v>2</v>
      </c>
      <c r="C133" s="2">
        <v>1</v>
      </c>
      <c r="D133" s="2">
        <v>1</v>
      </c>
      <c r="E133" s="2">
        <v>4</v>
      </c>
      <c r="F133" s="2">
        <v>0</v>
      </c>
      <c r="G133" s="2">
        <v>2</v>
      </c>
      <c r="I133" s="2">
        <v>1</v>
      </c>
    </row>
    <row r="136" spans="1:9" ht="15.75" customHeight="1" x14ac:dyDescent="0.25">
      <c r="A136" s="1" t="s">
        <v>33</v>
      </c>
      <c r="B136" s="7" t="s">
        <v>1</v>
      </c>
      <c r="C136" s="7" t="s">
        <v>2</v>
      </c>
      <c r="D136" s="2" t="s">
        <v>3</v>
      </c>
      <c r="E136" s="2" t="s">
        <v>4</v>
      </c>
      <c r="F136" s="2" t="s">
        <v>6</v>
      </c>
      <c r="G136" s="7" t="s">
        <v>7</v>
      </c>
      <c r="H136" s="2" t="s">
        <v>8</v>
      </c>
    </row>
    <row r="137" spans="1:9" ht="15.75" customHeight="1" x14ac:dyDescent="0.25">
      <c r="A137" s="2" t="s">
        <v>11</v>
      </c>
      <c r="B137" s="7"/>
      <c r="C137" s="7"/>
      <c r="E137" s="2">
        <v>0.5</v>
      </c>
      <c r="F137" s="2">
        <v>1</v>
      </c>
      <c r="G137" s="7"/>
      <c r="H137" s="1">
        <v>1</v>
      </c>
    </row>
    <row r="138" spans="1:9" ht="15.75" customHeight="1" x14ac:dyDescent="0.25">
      <c r="A138" s="2" t="s">
        <v>13</v>
      </c>
      <c r="B138" s="7"/>
      <c r="C138" s="7"/>
      <c r="D138" s="1">
        <v>1</v>
      </c>
      <c r="E138" s="2">
        <v>1</v>
      </c>
      <c r="G138" s="7"/>
    </row>
    <row r="139" spans="1:9" ht="15.75" customHeight="1" x14ac:dyDescent="0.25">
      <c r="A139" s="2" t="s">
        <v>15</v>
      </c>
      <c r="B139" s="7"/>
      <c r="C139" s="7"/>
      <c r="E139" s="2">
        <v>1</v>
      </c>
      <c r="F139" s="1">
        <v>1</v>
      </c>
      <c r="G139" s="7"/>
    </row>
    <row r="140" spans="1:9" ht="15.75" customHeight="1" x14ac:dyDescent="0.25">
      <c r="A140" s="5" t="s">
        <v>17</v>
      </c>
      <c r="B140" s="7"/>
      <c r="C140" s="7"/>
      <c r="D140" s="2">
        <v>0.25</v>
      </c>
      <c r="E140" s="2">
        <v>0.25</v>
      </c>
      <c r="F140" s="1">
        <v>1</v>
      </c>
      <c r="G140" s="7"/>
      <c r="H140" s="2">
        <v>0.25</v>
      </c>
    </row>
    <row r="141" spans="1:9" ht="15.75" customHeight="1" x14ac:dyDescent="0.25">
      <c r="A141" s="5" t="s">
        <v>19</v>
      </c>
      <c r="B141" s="7"/>
      <c r="C141" s="7"/>
      <c r="D141" s="2">
        <v>1</v>
      </c>
      <c r="E141" s="2">
        <v>0.5</v>
      </c>
      <c r="F141" s="2">
        <v>0.5</v>
      </c>
      <c r="G141" s="7"/>
      <c r="H141" s="1">
        <v>1</v>
      </c>
    </row>
    <row r="142" spans="1:9" ht="15.75" customHeight="1" x14ac:dyDescent="0.25">
      <c r="A142" s="5" t="s">
        <v>20</v>
      </c>
      <c r="B142" s="7"/>
      <c r="C142" s="7"/>
      <c r="D142" s="2">
        <v>0.5</v>
      </c>
      <c r="E142" s="2">
        <v>1</v>
      </c>
      <c r="F142" s="1">
        <v>1</v>
      </c>
      <c r="G142" s="7"/>
      <c r="H142" s="2">
        <v>0.5</v>
      </c>
    </row>
    <row r="143" spans="1:9" ht="15.75" customHeight="1" x14ac:dyDescent="0.25">
      <c r="A143" s="5" t="s">
        <v>21</v>
      </c>
      <c r="B143" s="7"/>
      <c r="C143" s="7"/>
      <c r="D143" s="2">
        <v>1</v>
      </c>
      <c r="F143" s="2">
        <v>1</v>
      </c>
      <c r="G143" s="7"/>
      <c r="H143" s="1">
        <v>1</v>
      </c>
    </row>
    <row r="144" spans="1:9" ht="15.75" customHeight="1" x14ac:dyDescent="0.25">
      <c r="A144" s="5" t="s">
        <v>22</v>
      </c>
      <c r="B144" s="7"/>
      <c r="C144" s="7"/>
      <c r="D144" s="2">
        <v>0.25</v>
      </c>
      <c r="E144" s="1">
        <v>1</v>
      </c>
      <c r="F144" s="2">
        <v>0.25</v>
      </c>
      <c r="G144" s="7"/>
      <c r="H144" s="2">
        <v>0.25</v>
      </c>
    </row>
    <row r="145" spans="1:8" ht="15.75" customHeight="1" x14ac:dyDescent="0.25">
      <c r="A145" s="2" t="s">
        <v>26</v>
      </c>
      <c r="B145" s="7"/>
      <c r="C145" s="7"/>
      <c r="D145" s="1">
        <v>1</v>
      </c>
      <c r="F145" s="2">
        <v>1</v>
      </c>
      <c r="G145" s="7"/>
    </row>
    <row r="146" spans="1:8" ht="15.75" customHeight="1" x14ac:dyDescent="0.25">
      <c r="A146" s="2" t="s">
        <v>26</v>
      </c>
      <c r="B146" s="7"/>
      <c r="C146" s="7"/>
      <c r="E146" s="1">
        <v>1</v>
      </c>
      <c r="G146" s="7"/>
      <c r="H146" s="2">
        <v>1</v>
      </c>
    </row>
    <row r="147" spans="1:8" ht="15.75" customHeight="1" x14ac:dyDescent="0.25">
      <c r="B147" s="7"/>
      <c r="C147" s="7"/>
      <c r="G147" s="7"/>
    </row>
    <row r="148" spans="1:8" ht="15.75" customHeight="1" x14ac:dyDescent="0.25">
      <c r="B148" s="7"/>
      <c r="C148" s="7"/>
      <c r="G148" s="7"/>
    </row>
    <row r="149" spans="1:8" ht="15.75" customHeight="1" x14ac:dyDescent="0.25">
      <c r="B149" s="7"/>
      <c r="C149" s="7"/>
      <c r="G149" s="7"/>
    </row>
    <row r="150" spans="1:8" ht="15.75" customHeight="1" x14ac:dyDescent="0.25">
      <c r="A150" s="2" t="s">
        <v>27</v>
      </c>
      <c r="B150" s="7">
        <f t="shared" ref="B150:C150" si="13">SUM(B136:B149)</f>
        <v>0</v>
      </c>
      <c r="C150" s="7">
        <f t="shared" si="13"/>
        <v>0</v>
      </c>
      <c r="D150" s="2">
        <f>SUM(D136:D148)</f>
        <v>5</v>
      </c>
      <c r="E150" s="2">
        <f t="shared" ref="E150:H150" si="14">SUM(E136:E149)</f>
        <v>6.25</v>
      </c>
      <c r="F150" s="2">
        <f t="shared" si="14"/>
        <v>6.75</v>
      </c>
      <c r="G150" s="7">
        <f t="shared" si="14"/>
        <v>0</v>
      </c>
      <c r="H150" s="2">
        <f t="shared" si="14"/>
        <v>5</v>
      </c>
    </row>
    <row r="151" spans="1:8" ht="15.75" customHeight="1" x14ac:dyDescent="0.25">
      <c r="A151" s="2" t="s">
        <v>28</v>
      </c>
      <c r="B151" s="2">
        <f>AVERAGE(D150,E150,F150,H150)</f>
        <v>5.75</v>
      </c>
    </row>
    <row r="152" spans="1:8" ht="15.75" customHeight="1" x14ac:dyDescent="0.25">
      <c r="A152" s="2" t="s">
        <v>29</v>
      </c>
      <c r="D152" s="2">
        <v>2</v>
      </c>
      <c r="E152" s="2">
        <v>2</v>
      </c>
      <c r="F152" s="2">
        <v>3</v>
      </c>
      <c r="H152" s="2">
        <v>3</v>
      </c>
    </row>
    <row r="155" spans="1:8" ht="15.75" customHeight="1" x14ac:dyDescent="0.25">
      <c r="A155" s="1" t="s">
        <v>37</v>
      </c>
      <c r="B155" s="2" t="s">
        <v>1</v>
      </c>
      <c r="C155" s="7" t="s">
        <v>2</v>
      </c>
      <c r="D155" s="2" t="s">
        <v>3</v>
      </c>
      <c r="E155" s="2" t="s">
        <v>4</v>
      </c>
      <c r="F155" s="2" t="s">
        <v>6</v>
      </c>
      <c r="G155" s="2" t="s">
        <v>7</v>
      </c>
      <c r="H155" s="2" t="s">
        <v>8</v>
      </c>
    </row>
    <row r="156" spans="1:8" ht="15.75" customHeight="1" x14ac:dyDescent="0.25">
      <c r="A156" s="2" t="s">
        <v>11</v>
      </c>
      <c r="C156" s="7"/>
      <c r="E156" s="1">
        <v>1</v>
      </c>
      <c r="F156" s="1"/>
      <c r="H156" s="2">
        <v>1</v>
      </c>
    </row>
    <row r="157" spans="1:8" ht="15.75" customHeight="1" x14ac:dyDescent="0.25">
      <c r="A157" s="2" t="s">
        <v>13</v>
      </c>
      <c r="B157" s="2">
        <v>1</v>
      </c>
      <c r="C157" s="7"/>
      <c r="D157" s="1"/>
      <c r="G157" s="1">
        <v>1</v>
      </c>
    </row>
    <row r="158" spans="1:8" ht="15.75" customHeight="1" x14ac:dyDescent="0.25">
      <c r="A158" s="2" t="s">
        <v>15</v>
      </c>
      <c r="C158" s="7"/>
      <c r="D158" s="1">
        <v>1</v>
      </c>
      <c r="F158" s="2">
        <v>1</v>
      </c>
      <c r="G158" s="1"/>
    </row>
    <row r="159" spans="1:8" ht="15.75" customHeight="1" x14ac:dyDescent="0.25">
      <c r="A159" s="5" t="s">
        <v>17</v>
      </c>
      <c r="B159" s="2">
        <v>1</v>
      </c>
      <c r="C159" s="7"/>
      <c r="D159" s="2">
        <v>0.25</v>
      </c>
      <c r="E159" s="2">
        <v>0.25</v>
      </c>
      <c r="F159" s="2">
        <v>0.25</v>
      </c>
      <c r="G159" s="2">
        <v>0.25</v>
      </c>
      <c r="H159" s="2">
        <v>0.25</v>
      </c>
    </row>
    <row r="160" spans="1:8" ht="15.75" customHeight="1" x14ac:dyDescent="0.25">
      <c r="A160" s="5" t="s">
        <v>19</v>
      </c>
      <c r="B160" s="1">
        <v>1</v>
      </c>
      <c r="C160" s="7"/>
      <c r="E160" s="2">
        <v>1</v>
      </c>
      <c r="F160" s="2">
        <v>0.5</v>
      </c>
      <c r="G160" s="2"/>
      <c r="H160" s="2"/>
    </row>
    <row r="161" spans="1:8" ht="15.75" customHeight="1" x14ac:dyDescent="0.25">
      <c r="A161" s="5" t="s">
        <v>20</v>
      </c>
      <c r="C161" s="7"/>
      <c r="D161" s="1">
        <v>1</v>
      </c>
      <c r="E161" s="2">
        <v>0.5</v>
      </c>
      <c r="G161" s="2">
        <v>1</v>
      </c>
    </row>
    <row r="162" spans="1:8" ht="15.75" customHeight="1" x14ac:dyDescent="0.25">
      <c r="A162" s="5" t="s">
        <v>21</v>
      </c>
      <c r="B162" s="2">
        <v>1</v>
      </c>
      <c r="C162" s="7"/>
      <c r="E162" s="2">
        <v>0.5</v>
      </c>
      <c r="F162" s="1">
        <v>1</v>
      </c>
      <c r="G162" s="2">
        <v>0.5</v>
      </c>
      <c r="H162" s="2">
        <v>0.5</v>
      </c>
    </row>
    <row r="163" spans="1:8" ht="15.75" customHeight="1" x14ac:dyDescent="0.25">
      <c r="A163" s="5" t="s">
        <v>22</v>
      </c>
      <c r="B163" s="2">
        <v>0.25</v>
      </c>
      <c r="C163" s="7"/>
      <c r="D163" s="2">
        <v>0.25</v>
      </c>
      <c r="E163" s="2">
        <v>0.25</v>
      </c>
      <c r="F163" s="2">
        <v>0.25</v>
      </c>
      <c r="G163" s="1">
        <v>1</v>
      </c>
      <c r="H163" s="2">
        <v>0.25</v>
      </c>
    </row>
    <row r="164" spans="1:8" ht="15.75" customHeight="1" x14ac:dyDescent="0.25">
      <c r="A164" s="2" t="s">
        <v>23</v>
      </c>
      <c r="B164" s="2">
        <v>0.5</v>
      </c>
      <c r="C164" s="7"/>
      <c r="D164" s="2">
        <v>0.5</v>
      </c>
      <c r="E164" s="1">
        <v>1</v>
      </c>
      <c r="G164" s="2">
        <v>1</v>
      </c>
    </row>
    <row r="165" spans="1:8" ht="15.75" customHeight="1" x14ac:dyDescent="0.25">
      <c r="A165" s="2" t="s">
        <v>39</v>
      </c>
      <c r="B165" s="2">
        <v>0.25</v>
      </c>
      <c r="C165" s="7"/>
      <c r="D165" s="2">
        <v>0.25</v>
      </c>
      <c r="E165" s="2">
        <v>0.25</v>
      </c>
      <c r="F165" s="1">
        <v>1</v>
      </c>
      <c r="G165" s="2">
        <v>0.25</v>
      </c>
      <c r="H165" s="2">
        <v>0.25</v>
      </c>
    </row>
    <row r="166" spans="1:8" ht="15.75" customHeight="1" x14ac:dyDescent="0.25">
      <c r="C166" s="7"/>
      <c r="F166" s="1"/>
    </row>
    <row r="167" spans="1:8" ht="15.75" customHeight="1" x14ac:dyDescent="0.25">
      <c r="C167" s="9"/>
    </row>
    <row r="168" spans="1:8" ht="15.75" customHeight="1" x14ac:dyDescent="0.25">
      <c r="C168" s="7"/>
    </row>
    <row r="169" spans="1:8" ht="15.75" customHeight="1" x14ac:dyDescent="0.25">
      <c r="A169" s="2" t="s">
        <v>27</v>
      </c>
      <c r="B169" s="2">
        <f t="shared" ref="B169:C169" si="15">SUM(B155:B168)</f>
        <v>5</v>
      </c>
      <c r="C169" s="7">
        <f t="shared" si="15"/>
        <v>0</v>
      </c>
      <c r="D169" s="2">
        <f>SUM(D155:D167)</f>
        <v>3.25</v>
      </c>
      <c r="E169" s="2">
        <f t="shared" ref="E169:H169" si="16">SUM(E155:E168)</f>
        <v>4.75</v>
      </c>
      <c r="F169" s="2">
        <f t="shared" si="16"/>
        <v>4</v>
      </c>
      <c r="G169" s="2">
        <f t="shared" si="16"/>
        <v>5</v>
      </c>
      <c r="H169" s="2">
        <f t="shared" si="16"/>
        <v>2.25</v>
      </c>
    </row>
    <row r="170" spans="1:8" ht="15.75" customHeight="1" x14ac:dyDescent="0.25">
      <c r="A170" s="2" t="s">
        <v>28</v>
      </c>
      <c r="B170" s="2">
        <f>AVERAGE(B169,D169,E169,F169,G169,H169)</f>
        <v>4.041666666666667</v>
      </c>
    </row>
    <row r="171" spans="1:8" ht="15.75" customHeight="1" x14ac:dyDescent="0.25">
      <c r="A171" s="2" t="s">
        <v>29</v>
      </c>
      <c r="B171" s="2">
        <v>1</v>
      </c>
      <c r="D171" s="2">
        <v>2</v>
      </c>
      <c r="E171" s="2">
        <v>2</v>
      </c>
      <c r="F171" s="2">
        <v>2</v>
      </c>
      <c r="G171" s="2">
        <v>2</v>
      </c>
      <c r="H171" s="2">
        <v>0</v>
      </c>
    </row>
    <row r="174" spans="1:8" ht="15.75" customHeight="1" x14ac:dyDescent="0.25">
      <c r="A174" s="1" t="s">
        <v>41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6</v>
      </c>
      <c r="G174" s="2" t="s">
        <v>7</v>
      </c>
      <c r="H174" s="2" t="s">
        <v>8</v>
      </c>
    </row>
    <row r="175" spans="1:8" ht="15.75" customHeight="1" x14ac:dyDescent="0.25">
      <c r="A175" s="2" t="s">
        <v>11</v>
      </c>
      <c r="E175" s="1"/>
      <c r="F175" s="1"/>
    </row>
    <row r="176" spans="1:8" ht="15.75" customHeight="1" x14ac:dyDescent="0.25">
      <c r="A176" s="2" t="s">
        <v>13</v>
      </c>
      <c r="D176" s="2"/>
      <c r="G176" s="2"/>
    </row>
    <row r="177" spans="1:8" ht="15.75" customHeight="1" x14ac:dyDescent="0.25">
      <c r="A177" s="2" t="s">
        <v>15</v>
      </c>
      <c r="D177" s="2"/>
      <c r="G177" s="2"/>
    </row>
    <row r="178" spans="1:8" ht="15.75" customHeight="1" x14ac:dyDescent="0.25">
      <c r="A178" s="5" t="s">
        <v>17</v>
      </c>
    </row>
    <row r="179" spans="1:8" ht="15.75" customHeight="1" x14ac:dyDescent="0.25">
      <c r="A179" s="5" t="s">
        <v>19</v>
      </c>
    </row>
    <row r="180" spans="1:8" ht="15.75" customHeight="1" x14ac:dyDescent="0.25">
      <c r="A180" s="5" t="s">
        <v>20</v>
      </c>
    </row>
    <row r="181" spans="1:8" ht="15.75" customHeight="1" x14ac:dyDescent="0.25">
      <c r="A181" s="5" t="s">
        <v>21</v>
      </c>
    </row>
    <row r="182" spans="1:8" ht="15.75" customHeight="1" x14ac:dyDescent="0.25">
      <c r="A182" s="5" t="s">
        <v>22</v>
      </c>
    </row>
    <row r="183" spans="1:8" ht="15.75" customHeight="1" x14ac:dyDescent="0.25">
      <c r="A183" s="2" t="s">
        <v>23</v>
      </c>
      <c r="E183" s="2"/>
    </row>
    <row r="184" spans="1:8" ht="15.75" customHeight="1" x14ac:dyDescent="0.25">
      <c r="A184" s="2" t="s">
        <v>39</v>
      </c>
      <c r="F184" s="2"/>
    </row>
    <row r="185" spans="1:8" ht="15.75" customHeight="1" x14ac:dyDescent="0.25">
      <c r="F185" s="1"/>
    </row>
    <row r="186" spans="1:8" ht="15.75" customHeight="1" x14ac:dyDescent="0.25">
      <c r="C186" s="1"/>
    </row>
    <row r="188" spans="1:8" ht="15.75" customHeight="1" x14ac:dyDescent="0.25">
      <c r="A188" s="2" t="s">
        <v>27</v>
      </c>
      <c r="B188" s="2">
        <f t="shared" ref="B188:C188" si="17">SUM(B174:B187)</f>
        <v>0</v>
      </c>
      <c r="C188" s="2">
        <f t="shared" si="17"/>
        <v>0</v>
      </c>
      <c r="D188" s="2">
        <f>SUM(D174:D186)</f>
        <v>0</v>
      </c>
      <c r="E188" s="2">
        <f t="shared" ref="E188:H188" si="18">SUM(E174:E187)</f>
        <v>0</v>
      </c>
      <c r="F188" s="2">
        <f t="shared" si="18"/>
        <v>0</v>
      </c>
      <c r="G188" s="2">
        <f t="shared" si="18"/>
        <v>0</v>
      </c>
      <c r="H188" s="2">
        <f t="shared" si="18"/>
        <v>0</v>
      </c>
    </row>
    <row r="189" spans="1:8" ht="15.75" customHeight="1" x14ac:dyDescent="0.25">
      <c r="A189" s="2" t="s">
        <v>28</v>
      </c>
      <c r="B189" s="2">
        <f>AVERAGE(B188,D188,E188,F188,G188,H188)</f>
        <v>0</v>
      </c>
    </row>
    <row r="190" spans="1:8" ht="15.75" customHeight="1" x14ac:dyDescent="0.25">
      <c r="A19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Cory Cone</cp:lastModifiedBy>
  <dcterms:modified xsi:type="dcterms:W3CDTF">2026-03-10T18:53:39Z</dcterms:modified>
</cp:coreProperties>
</file>